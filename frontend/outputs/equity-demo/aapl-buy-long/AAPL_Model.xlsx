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Operating Model" state="visible" r:id="rId6"/>
    <sheet sheetId="4" name="Sensitivity" state="visible" r:id="rId7"/>
    <sheet sheetId="5" name="Valuation" state="visible" r:id="rId8"/>
    <sheet sheetId="6" name="Comps" state="visible" r:id="rId9"/>
    <sheet sheetId="7" name="Risk Triggers" state="visible" r:id="rId10"/>
    <sheet sheetId="8" name="Source Notes" state="hidden" r:id="rId11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>Source: User rationale: Buy / Long: services durability and margin discipline are underappreciated while the market is over-focused on near-term iPhone unit pressure.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4" authorId="0">
      <text>
        <r>
          <t>Source: Apple FY2024 Form 10-K; cached SEC snapshot (2024-11-01)</t>
        </r>
      </text>
    </comment>
    <comment ref="B5" authorId="0">
      <text>
        <r>
          <t>Source: Apple FY2024 Form 10-K; cached SEC snapshot (2024-11-01)</t>
        </r>
      </text>
    </comment>
    <comment ref="B6" authorId="0">
      <text>
        <r>
          <t>Source: Apple FY2024 Form 10-K; cached SEC snapshot</t>
        </r>
      </text>
    </comment>
    <comment ref="B7" authorId="0">
      <text>
        <r>
          <t>Source: Apple FY2024 Form 10-K; cached SEC snapshot</t>
        </r>
      </text>
    </comment>
    <comment ref="B8" authorId="0">
      <text>
        <r>
          <t>Source: Apple FY2024 Form 10-K; cached SEC snapshot</t>
        </r>
      </text>
    </comment>
    <comment ref="B9" authorId="0">
      <text>
        <r>
          <t>Source: Apple FY2024 Form 10-K; cached SEC snapshot</t>
        </r>
      </text>
    </comment>
    <comment ref="B10" authorId="0">
      <text>
        <r>
          <t>Source: Apple FY2024 Form 10-K</t>
        </r>
      </text>
    </comment>
    <comment ref="B11" authorId="0">
      <text>
        <r>
          <t>Source: Apple FY2024 Form 10-K</t>
        </r>
      </text>
    </comment>
    <comment ref="B12" authorId="0">
      <text>
        <r>
          <t>Source: Apple FY2024 Form 10-K</t>
        </r>
      </text>
    </comment>
    <comment ref="B13" authorId="0">
      <text>
        <r>
          <t>Source: Apple FY2024 Form 10-K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4" authorId="0">
      <text>
        <r>
          <t>Source: Reported revenue baseline from source-backed research context.</t>
        </r>
      </text>
    </comment>
    <comment ref="B5" authorId="0">
      <text>
        <r>
          <t>Source: Reported baseline from source-backed research context.</t>
        </r>
      </text>
    </comment>
    <comment ref="C5" authorId="0">
      <text>
        <r>
          <t>Source: Forward estimate from user rationale and reported baseline.</t>
        </r>
      </text>
    </comment>
    <comment ref="D5" authorId="0">
      <text>
        <r>
          <t>Source: Forward estimate from user rationale and reported baseline.</t>
        </r>
      </text>
    </comment>
    <comment ref="E5" authorId="0">
      <text>
        <r>
          <t>Source: Forward estimate from user rationale and reported baseline.</t>
        </r>
      </text>
    </comment>
    <comment ref="F5" authorId="0">
      <text>
        <r>
          <t>Source: Forward estimate from user rationale and reported baseline.</t>
        </r>
      </text>
    </comment>
    <comment ref="B6" authorId="0">
      <text>
        <r>
          <t>Source: Reported baseline from source-backed research context.</t>
        </r>
      </text>
    </comment>
    <comment ref="C6" authorId="0">
      <text>
        <r>
          <t>Source: Forward estimate from user rationale and reported baseline.</t>
        </r>
      </text>
    </comment>
    <comment ref="D6" authorId="0">
      <text>
        <r>
          <t>Source: Forward estimate from user rationale and reported baseline.</t>
        </r>
      </text>
    </comment>
    <comment ref="E6" authorId="0">
      <text>
        <r>
          <t>Source: Forward estimate from user rationale and reported baseline.</t>
        </r>
      </text>
    </comment>
    <comment ref="F6" authorId="0">
      <text>
        <r>
          <t>Source: Forward estimate from user rationale and reported baseline.</t>
        </r>
      </text>
    </comment>
    <comment ref="B8" authorId="0">
      <text>
        <r>
          <t>Source: Reported baseline from source-backed research context.</t>
        </r>
      </text>
    </comment>
    <comment ref="C8" authorId="0">
      <text>
        <r>
          <t>Source: Forward estimate from user rationale and reported baseline.</t>
        </r>
      </text>
    </comment>
    <comment ref="D8" authorId="0">
      <text>
        <r>
          <t>Source: Forward estimate from user rationale and reported baseline.</t>
        </r>
      </text>
    </comment>
    <comment ref="E8" authorId="0">
      <text>
        <r>
          <t>Source: Forward estimate from user rationale and reported baseline.</t>
        </r>
      </text>
    </comment>
    <comment ref="F8" authorId="0">
      <text>
        <r>
          <t>Source: Forward estimate from user rationale and reported baseline.</t>
        </r>
      </text>
    </comment>
    <comment ref="B10" authorId="0">
      <text>
        <r>
          <t>Source: Reported baseline from source-backed research context.</t>
        </r>
      </text>
    </comment>
    <comment ref="C10" authorId="0">
      <text>
        <r>
          <t>Source: Forward estimate from user rationale and reported baseline.</t>
        </r>
      </text>
    </comment>
    <comment ref="D10" authorId="0">
      <text>
        <r>
          <t>Source: Forward estimate from user rationale and reported baseline.</t>
        </r>
      </text>
    </comment>
    <comment ref="E10" authorId="0">
      <text>
        <r>
          <t>Source: Forward estimate from user rationale and reported baseline.</t>
        </r>
      </text>
    </comment>
    <comment ref="F10" authorId="0">
      <text>
        <r>
          <t>Source: Forward estimate from user rationale and reported baseline.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4" authorId="0">
      <text>
        <r>
          <t>Source: Forward estimate from reported baseline</t>
        </r>
      </text>
    </comment>
    <comment ref="B5" authorId="0">
      <text>
        <r>
          <t>Source: Forward estimate from reported baseline</t>
        </r>
      </text>
    </comment>
    <comment ref="B6" authorId="0">
      <text>
        <r>
          <t>Source: Forward estimate from reported baseline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4" authorId="0">
      <text>
        <r>
          <t>Source: Source: peer classification; mega-cap quality growth peer.</t>
        </r>
      </text>
    </comment>
    <comment ref="A5" authorId="0">
      <text>
        <r>
          <t>Source: Source: peer classification; mega-cap platform peer.</t>
        </r>
      </text>
    </comment>
    <comment ref="A6" authorId="0">
      <text>
        <r>
          <t>Source: Source: peer classification; mega-cap consumer technology peer.</t>
        </r>
      </text>
    </comment>
  </commentList>
</comments>
</file>

<file path=xl/sharedStrings.xml><?xml version="1.0" encoding="utf-8"?>
<sst xmlns="http://schemas.openxmlformats.org/spreadsheetml/2006/main" count="218" uniqueCount="131">
  <si>
    <t>AAPL Operating Model</t>
  </si>
  <si>
    <t>Ticker</t>
  </si>
  <si>
    <t>AAPL</t>
  </si>
  <si>
    <t>Recommendation</t>
  </si>
  <si>
    <t>Buy / Long</t>
  </si>
  <si>
    <t>Base $/sh</t>
  </si>
  <si>
    <t>Date</t>
  </si>
  <si>
    <t>Scenario</t>
  </si>
  <si>
    <t>Revenue Growth</t>
  </si>
  <si>
    <t>Operating Margin</t>
  </si>
  <si>
    <t>Implied $/sh</t>
  </si>
  <si>
    <t>Vs. Base</t>
  </si>
  <si>
    <t/>
  </si>
  <si>
    <t>Core Drivers</t>
  </si>
  <si>
    <t>FY2024</t>
  </si>
  <si>
    <t>FY1</t>
  </si>
  <si>
    <t>FY2</t>
  </si>
  <si>
    <t>FY3</t>
  </si>
  <si>
    <t>FY4</t>
  </si>
  <si>
    <t>Revenue ($mm)</t>
  </si>
  <si>
    <t>Gross Margin</t>
  </si>
  <si>
    <t>FCF Margin</t>
  </si>
  <si>
    <t>FCF ($mm)</t>
  </si>
  <si>
    <t>Comps Snapshot</t>
  </si>
  <si>
    <t>EV/Revenue</t>
  </si>
  <si>
    <t>EV/EBITDA</t>
  </si>
  <si>
    <t>P/E</t>
  </si>
  <si>
    <t>P/E vs. Median</t>
  </si>
  <si>
    <t>Median EV/Revenue</t>
  </si>
  <si>
    <t>Median P/E</t>
  </si>
  <si>
    <t>FY4 Revenue</t>
  </si>
  <si>
    <t>FY4 FCF Margin</t>
  </si>
  <si>
    <t>AAPL Inputs</t>
  </si>
  <si>
    <t>Input</t>
  </si>
  <si>
    <t>Value</t>
  </si>
  <si>
    <t>Source</t>
  </si>
  <si>
    <t>Narrative driver: What changed</t>
  </si>
  <si>
    <t>Apple reported FY2024 net sales of $391.0B.</t>
  </si>
  <si>
    <t>Apple FY2024 Form 10-K; cached SEC snapshot (2024-11-01)</t>
  </si>
  <si>
    <t>Narrative driver: Management / filing narrative</t>
  </si>
  <si>
    <t>FY2024 revenue returned to modest growth after FY2023 contraction.</t>
  </si>
  <si>
    <t>Reported Revenue Base</t>
  </si>
  <si>
    <t>$391.0bn</t>
  </si>
  <si>
    <t>Apple FY2024 Form 10-K; cached SEC snapshot</t>
  </si>
  <si>
    <t>Reported Gross Margin</t>
  </si>
  <si>
    <t>46.2%</t>
  </si>
  <si>
    <t>Reported Operating Margin</t>
  </si>
  <si>
    <t>31.5%</t>
  </si>
  <si>
    <t>Reported FCF Margin</t>
  </si>
  <si>
    <t>27.8%</t>
  </si>
  <si>
    <t>Apple FY2024 Form 10-K</t>
  </si>
  <si>
    <t>$mm except per-share data</t>
  </si>
  <si>
    <t>Gross Profit ($mm)</t>
  </si>
  <si>
    <t>Operating Income ($mm)</t>
  </si>
  <si>
    <t>Free Cash Flow ($mm)</t>
  </si>
  <si>
    <t>AAPL Sensitivity</t>
  </si>
  <si>
    <t>Case</t>
  </si>
  <si>
    <t>Implied Value</t>
  </si>
  <si>
    <t>Bear</t>
  </si>
  <si>
    <t>Base</t>
  </si>
  <si>
    <t>Bull</t>
  </si>
  <si>
    <t>AAPL Valuation Output</t>
  </si>
  <si>
    <t>Output</t>
  </si>
  <si>
    <t>$ / share</t>
  </si>
  <si>
    <t>Base Case Value</t>
  </si>
  <si>
    <t>Forward estimate from reported baseline</t>
  </si>
  <si>
    <t>Bull Case Value</t>
  </si>
  <si>
    <t>Bear Case Value</t>
  </si>
  <si>
    <t>AAPL Comparable Companies</t>
  </si>
  <si>
    <t>Company</t>
  </si>
  <si>
    <t>Rationale</t>
  </si>
  <si>
    <t>MSFT</t>
  </si>
  <si>
    <t>Microsoft</t>
  </si>
  <si>
    <t>Source: peer classification; mega-cap quality growth peer.</t>
  </si>
  <si>
    <t>GOOGL</t>
  </si>
  <si>
    <t>Alphabet</t>
  </si>
  <si>
    <t>Source: peer classification; mega-cap platform peer.</t>
  </si>
  <si>
    <t>META</t>
  </si>
  <si>
    <t>Meta Platforms</t>
  </si>
  <si>
    <t>Source: peer classification; mega-cap consumer technology peer.</t>
  </si>
  <si>
    <t>AAPL Risk / Falsification</t>
  </si>
  <si>
    <t>Trigger</t>
  </si>
  <si>
    <t>Threshold</t>
  </si>
  <si>
    <t>Action</t>
  </si>
  <si>
    <t>Services slowdown</t>
  </si>
  <si>
    <t>Growth below mid-single digits</t>
  </si>
  <si>
    <t>Re-underwrite thesis.</t>
  </si>
  <si>
    <t>Margin compression</t>
  </si>
  <si>
    <t>Gross margin down more than 150 bps</t>
  </si>
  <si>
    <t>Trim or exit paper position.</t>
  </si>
  <si>
    <t>Hardware guide-down</t>
  </si>
  <si>
    <t>Sustained device revenue decline</t>
  </si>
  <si>
    <t>Mark thesis weakened.</t>
  </si>
  <si>
    <t>AAPL Source Notes</t>
  </si>
  <si>
    <t>Evidence</t>
  </si>
  <si>
    <t>Implication</t>
  </si>
  <si>
    <t>What changed</t>
  </si>
  <si>
    <t>Defines why now and whether the thesis is reacting to a real change rather than a stale narrative.</t>
  </si>
  <si>
    <t>Management / filing narrative</t>
  </si>
  <si>
    <t>Connects the thesis to company-disclosed operating context instead of only market price action.</t>
  </si>
  <si>
    <t>Risk / falsification</t>
  </si>
  <si>
    <t>Apple's risk disclosures emphasize competitive pressure, supply concentration, geopolitical and trade restrictions, dependence on third-party developers and distribution, and regulatory scrutiny of platform economics.</t>
  </si>
  <si>
    <t>Supplies explicit conditions that can weaken or break the thesis.</t>
  </si>
  <si>
    <t>Market debate</t>
  </si>
  <si>
    <t>The core debate is whether a large installed base, services mix, and product ecosystem can defend earnings power while hardware replacement cycles remain uneven and regulators scrutinize platform monetization.</t>
  </si>
  <si>
    <t>Citadail cached coverage seed</t>
  </si>
  <si>
    <t>Frames what the market is likely focused on versus what the thesis needs to prove.</t>
  </si>
  <si>
    <t>Business quality driver</t>
  </si>
  <si>
    <t>Apple generated $118.3B of operating cash flow and $108.8B of free cash flow in FY2024.</t>
  </si>
  <si>
    <t>Identifies the qualitative driver that must translate into durable model assumptions.</t>
  </si>
  <si>
    <t>FY2024 revenue base</t>
  </si>
  <si>
    <t>$391.0bn / 2.0% YoY</t>
  </si>
  <si>
    <t>Apple FY2024 Form 10-K; cached SEC snapshot filed 2024-11-01</t>
  </si>
  <si>
    <t>Sets the growth bar the narrative must beat or defend.</t>
  </si>
  <si>
    <t>FY2024 margin structure</t>
  </si>
  <si>
    <t>Gross 46.2% / operating 31.5%</t>
  </si>
  <si>
    <t>Shows whether the qualitative story has already appeared in reported economics.</t>
  </si>
  <si>
    <t>FY2024 free cash flow</t>
  </si>
  <si>
    <t>$108.8bn / 27.8% margin</t>
  </si>
  <si>
    <t>Tests whether the company can fund reinvestment, buybacks, and downside resilience.</t>
  </si>
  <si>
    <t>FY2024 revenue</t>
  </si>
  <si>
    <t>Reported revenue growth resets the underwriting base after FY2023 pressure.</t>
  </si>
  <si>
    <t>FY2024 gross margin</t>
  </si>
  <si>
    <t>Gross margin expansion supports the services mix and pricing discipline argument.</t>
  </si>
  <si>
    <t>FY2024 operating margin</t>
  </si>
  <si>
    <t>Operating margin anchors the earnings durability case.</t>
  </si>
  <si>
    <t>$108.8bn</t>
  </si>
  <si>
    <t>High FCF supports capital return and downside resilience.</t>
  </si>
  <si>
    <t>FY2024 net margin</t>
  </si>
  <si>
    <t>24.0%</t>
  </si>
  <si>
    <t>Net margin converts the operating story into earnings power.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</si>
</sst>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.0;[Red]($#,##0.0);-"/>
    <numFmt numFmtId="165" formatCode="mmm d, yyyy"/>
    <numFmt numFmtId="166" formatCode="0.0%;[Red](0.0%);-"/>
    <numFmt numFmtId="167" formatCode="0.0x;[Red](0.0x);-"/>
  </numFmts>
  <fonts count="10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sz val="10"/>
      <name val="Arial"/>
    </font>
    <font>
      <b/>
      <color rgb="FF061B33"/>
      <sz val="10"/>
      <name val="Arial"/>
    </font>
    <font>
      <b/>
      <color rgb="FF008000"/>
      <sz val="10"/>
      <name val="Arial"/>
    </font>
    <font>
      <color rgb="FF5F738A"/>
      <sz val="10"/>
      <name val="Arial"/>
    </font>
    <font>
      <b/>
      <color rgb="FFFFFFFF"/>
      <sz val="10"/>
      <name val="Arial"/>
    </font>
    <font>
      <b/>
      <color rgb="FFFFFFFF"/>
      <name val="Arial"/>
    </font>
    <font>
      <color rgb="FF0000FF"/>
      <sz val="10"/>
      <name val="Arial"/>
    </font>
    <font>
      <color rgb="FF0000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1B33"/>
      </patternFill>
    </fill>
    <fill>
      <patternFill patternType="solid">
        <fgColor rgb="FFEAF1F8"/>
      </patternFill>
    </fill>
    <fill>
      <patternFill patternType="solid">
        <fgColor rgb="FF0D2B4C"/>
      </patternFill>
    </fill>
    <fill>
      <patternFill patternType="solid">
        <fgColor rgb="FFF9FAF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6" fontId="4" fillId="5" borderId="1" xfId="0" applyNumberFormat="1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167" fontId="4" fillId="0" borderId="1" xfId="0" applyNumberFormat="1" applyFont="1" applyBorder="1" applyAlignment="1">
      <alignment horizontal="left" vertical="center" wrapText="1"/>
    </xf>
    <xf numFmtId="167" fontId="4" fillId="5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0" fillId="0" borderId="0" xfId="0" applyNumberFormat="1"/>
    <xf numFmtId="164" fontId="2" fillId="5" borderId="1" xfId="0" applyNumberFormat="1" applyFont="1" applyFill="1" applyBorder="1" applyAlignment="1">
      <alignment horizontal="left" vertical="center" wrapText="1"/>
    </xf>
    <xf numFmtId="164" fontId="8" fillId="6" borderId="1" xfId="0" applyNumberFormat="1" applyFont="1" applyFill="1" applyBorder="1" applyAlignment="1">
      <alignment horizontal="right" vertical="center" wrapText="1"/>
    </xf>
    <xf numFmtId="164" fontId="9" fillId="5" borderId="1" xfId="0" applyNumberFormat="1" applyFont="1" applyFill="1" applyBorder="1" applyAlignment="1">
      <alignment horizontal="left" vertical="center" wrapText="1"/>
    </xf>
    <xf numFmtId="166" fontId="0" fillId="0" borderId="0" xfId="0" applyNumberFormat="1"/>
    <xf numFmtId="166" fontId="2" fillId="0" borderId="1" xfId="0" applyNumberFormat="1" applyFont="1" applyBorder="1" applyAlignment="1">
      <alignment horizontal="left" vertical="center" wrapText="1"/>
    </xf>
    <xf numFmtId="166" fontId="8" fillId="6" borderId="1" xfId="0" applyNumberFormat="1" applyFont="1" applyFill="1" applyBorder="1" applyAlignment="1">
      <alignment horizontal="right" vertical="center" wrapText="1"/>
    </xf>
    <xf numFmtId="166" fontId="2" fillId="5" borderId="1" xfId="0" applyNumberFormat="1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/>
    </xf>
    <xf numFmtId="166" fontId="7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6" fontId="2" fillId="5" borderId="1" xfId="0" applyNumberFormat="1" applyFont="1" applyFill="1" applyBorder="1" applyAlignment="1">
      <alignment horizontal="right" vertical="center" wrapText="1"/>
    </xf>
    <xf numFmtId="164" fontId="2" fillId="5" borderId="1" xfId="0" applyNumberFormat="1" applyFont="1" applyFill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7" fontId="0" fillId="0" borderId="0" xfId="0" applyNumberFormat="1"/>
    <xf numFmtId="167" fontId="1" fillId="2" borderId="0" xfId="0" applyNumberFormat="1" applyFont="1" applyFill="1" applyAlignment="1">
      <alignment horizontal="left" vertical="center"/>
    </xf>
    <xf numFmtId="167" fontId="7" fillId="4" borderId="1" xfId="0" applyNumberFormat="1" applyFont="1" applyFill="1" applyBorder="1" applyAlignment="1">
      <alignment horizontal="center" vertical="center" wrapText="1"/>
    </xf>
    <xf numFmtId="167" fontId="2" fillId="5" borderId="1" xfId="0" applyNumberFormat="1" applyFont="1" applyFill="1" applyBorder="1" applyAlignment="1">
      <alignment horizontal="right" vertical="center" wrapText="1"/>
    </xf>
    <xf numFmtId="167" fontId="2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vertical="top" wrapText="1"/>
    </xf>
    <xf numFmtId="0" fontId="7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57"/>
    <pageSetUpPr fitToPage="1"/>
  </sheetPr>
  <dimension ref="A1:H23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18" customWidth="1"/>
    <col min="2" max="8" width="1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3" t="s">
        <v>2</v>
      </c>
      <c r="C3" s="2" t="s">
        <v>3</v>
      </c>
      <c r="D3" s="3" t="s">
        <v>4</v>
      </c>
      <c r="E3" s="2" t="s">
        <v>5</v>
      </c>
      <c r="F3" s="4">
        <f>'Sensitivity'!D5</f>
        <v>220</v>
      </c>
      <c r="G3" s="2" t="s">
        <v>6</v>
      </c>
      <c r="H3" s="5">
        <v>46130.41156879629</v>
      </c>
    </row>
    <row r="5" ht="22" customHeight="1" spans="1:8" x14ac:dyDescent="0.2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12</v>
      </c>
      <c r="H5" s="6" t="s">
        <v>12</v>
      </c>
    </row>
    <row r="6" spans="1:8" x14ac:dyDescent="0.25">
      <c r="A6" s="7" t="str">
        <f>'Sensitivity'!A4</f>
        <v>Bear</v>
      </c>
      <c r="B6" s="8">
        <f>'Sensitivity'!B4</f>
        <v>0.01</v>
      </c>
      <c r="C6" s="8">
        <f>'Sensitivity'!C4</f>
        <v>0.28</v>
      </c>
      <c r="D6" s="9">
        <f>'Sensitivity'!D4</f>
        <v>170</v>
      </c>
      <c r="E6" s="8">
        <f>IF($D$6=0,0,$D6/'Sensitivity'!D5-1)</f>
        <v>-0.2272727272727273</v>
      </c>
      <c r="F6" s="10" t="s">
        <v>12</v>
      </c>
      <c r="G6" s="10" t="s">
        <v>12</v>
      </c>
      <c r="H6" s="10" t="s">
        <v>12</v>
      </c>
    </row>
    <row r="7" spans="1:8" x14ac:dyDescent="0.25">
      <c r="A7" s="11" t="str">
        <f>'Sensitivity'!A5</f>
        <v>Base</v>
      </c>
      <c r="B7" s="12">
        <f>'Sensitivity'!B5</f>
        <v>0.035</v>
      </c>
      <c r="C7" s="12">
        <f>'Sensitivity'!C5</f>
        <v>0.315</v>
      </c>
      <c r="D7" s="13">
        <f>'Sensitivity'!D5</f>
        <v>220</v>
      </c>
      <c r="E7" s="12">
        <f>IF($D$7=0,0,$D7/'Sensitivity'!D5-1)</f>
        <v>0</v>
      </c>
      <c r="F7" s="2" t="s">
        <v>12</v>
      </c>
      <c r="G7" s="2" t="s">
        <v>12</v>
      </c>
      <c r="H7" s="2" t="s">
        <v>12</v>
      </c>
    </row>
    <row r="8" spans="1:8" x14ac:dyDescent="0.25">
      <c r="A8" s="7" t="str">
        <f>'Sensitivity'!A6</f>
        <v>Bull</v>
      </c>
      <c r="B8" s="8">
        <f>'Sensitivity'!B6</f>
        <v>0.055</v>
      </c>
      <c r="C8" s="8">
        <f>'Sensitivity'!C6</f>
        <v>0.34</v>
      </c>
      <c r="D8" s="9">
        <f>'Sensitivity'!D6</f>
        <v>260</v>
      </c>
      <c r="E8" s="8">
        <f>IF($D$8=0,0,$D8/'Sensitivity'!D5-1)</f>
        <v>0.18181818181818188</v>
      </c>
      <c r="F8" s="10" t="s">
        <v>12</v>
      </c>
      <c r="G8" s="10" t="s">
        <v>12</v>
      </c>
      <c r="H8" s="10" t="s">
        <v>12</v>
      </c>
    </row>
    <row r="10" ht="22" customHeight="1" spans="1:8" x14ac:dyDescent="0.25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12</v>
      </c>
      <c r="H10" s="6" t="s">
        <v>12</v>
      </c>
    </row>
    <row r="11" spans="1:7" x14ac:dyDescent="0.25">
      <c r="A11" s="2" t="s">
        <v>19</v>
      </c>
      <c r="B11" s="13">
        <f>'Operating Model'!B4</f>
        <v>391035</v>
      </c>
      <c r="C11" s="13">
        <f>'Operating Model'!C4</f>
        <v>401700</v>
      </c>
      <c r="D11" s="13">
        <f>'Operating Model'!D4</f>
        <v>415760</v>
      </c>
      <c r="E11" s="13">
        <f>'Operating Model'!E4</f>
        <v>432390</v>
      </c>
      <c r="F11" s="13">
        <f>'Operating Model'!F4</f>
        <v>449685</v>
      </c>
      <c r="G11" s="2" t="s">
        <v>12</v>
      </c>
    </row>
    <row r="12" spans="1:7" x14ac:dyDescent="0.25">
      <c r="A12" s="10" t="s">
        <v>8</v>
      </c>
      <c r="B12" s="8">
        <f>'Operating Model'!B5</f>
        <v>0.02021994077514111</v>
      </c>
      <c r="C12" s="8">
        <f>'Operating Model'!C5</f>
        <v>0.03</v>
      </c>
      <c r="D12" s="8">
        <f>'Operating Model'!D5</f>
        <v>0.035</v>
      </c>
      <c r="E12" s="8">
        <f>'Operating Model'!E5</f>
        <v>0.04</v>
      </c>
      <c r="F12" s="8">
        <f>'Operating Model'!F5</f>
        <v>0.04</v>
      </c>
      <c r="G12" s="10" t="s">
        <v>12</v>
      </c>
    </row>
    <row r="13" spans="1:7" x14ac:dyDescent="0.25">
      <c r="A13" s="2" t="s">
        <v>20</v>
      </c>
      <c r="B13" s="12">
        <f>'Operating Model'!B6</f>
        <v>0.4620634981523393</v>
      </c>
      <c r="C13" s="12">
        <f>'Operating Model'!C6</f>
        <v>0.452</v>
      </c>
      <c r="D13" s="12">
        <f>'Operating Model'!D6</f>
        <v>0.454</v>
      </c>
      <c r="E13" s="12">
        <f>'Operating Model'!E6</f>
        <v>0.456</v>
      </c>
      <c r="F13" s="12">
        <f>'Operating Model'!F6</f>
        <v>0.456</v>
      </c>
      <c r="G13" s="2" t="s">
        <v>12</v>
      </c>
    </row>
    <row r="14" spans="1:7" x14ac:dyDescent="0.25">
      <c r="A14" s="10" t="s">
        <v>9</v>
      </c>
      <c r="B14" s="8">
        <f>'Operating Model'!B8</f>
        <v>0.31510222870075566</v>
      </c>
      <c r="C14" s="8">
        <f>'Operating Model'!C8</f>
        <v>0.312</v>
      </c>
      <c r="D14" s="8">
        <f>'Operating Model'!D8</f>
        <v>0.314</v>
      </c>
      <c r="E14" s="8">
        <f>'Operating Model'!E8</f>
        <v>0.316</v>
      </c>
      <c r="F14" s="8">
        <f>'Operating Model'!F8</f>
        <v>0.317</v>
      </c>
      <c r="G14" s="10" t="s">
        <v>12</v>
      </c>
    </row>
    <row r="15" spans="1:7" x14ac:dyDescent="0.25">
      <c r="A15" s="2" t="s">
        <v>21</v>
      </c>
      <c r="B15" s="12">
        <f>'Operating Model'!B10</f>
        <v>0.27825386474356517</v>
      </c>
      <c r="C15" s="12">
        <f>'Operating Model'!C10</f>
        <v>0.272</v>
      </c>
      <c r="D15" s="12">
        <f>'Operating Model'!D10</f>
        <v>0.274</v>
      </c>
      <c r="E15" s="12">
        <f>'Operating Model'!E10</f>
        <v>0.276</v>
      </c>
      <c r="F15" s="12">
        <f>'Operating Model'!F10</f>
        <v>0.277</v>
      </c>
      <c r="G15" s="2" t="s">
        <v>12</v>
      </c>
    </row>
    <row r="16" spans="1:7" x14ac:dyDescent="0.25">
      <c r="A16" s="10" t="s">
        <v>22</v>
      </c>
      <c r="B16" s="9">
        <f>'Operating Model'!B11</f>
        <v>108807</v>
      </c>
      <c r="C16" s="9">
        <f>'Operating Model'!C11</f>
        <v>109262.40000000001</v>
      </c>
      <c r="D16" s="9">
        <f>'Operating Model'!D11</f>
        <v>113918.24</v>
      </c>
      <c r="E16" s="9">
        <f>'Operating Model'!E11</f>
        <v>119339.64000000001</v>
      </c>
      <c r="F16" s="9">
        <f>'Operating Model'!F11</f>
        <v>124562.74500000001</v>
      </c>
      <c r="G16" s="10" t="s">
        <v>12</v>
      </c>
    </row>
    <row r="18" ht="22" customHeight="1" spans="1:8" x14ac:dyDescent="0.25">
      <c r="A18" s="6" t="s">
        <v>23</v>
      </c>
      <c r="B18" s="6" t="s">
        <v>24</v>
      </c>
      <c r="C18" s="6" t="s">
        <v>25</v>
      </c>
      <c r="D18" s="6" t="s">
        <v>26</v>
      </c>
      <c r="E18" s="6" t="s">
        <v>27</v>
      </c>
      <c r="F18" s="6" t="s">
        <v>12</v>
      </c>
      <c r="G18" s="6" t="s">
        <v>12</v>
      </c>
      <c r="H18" s="6" t="s">
        <v>12</v>
      </c>
    </row>
    <row r="19" spans="1:8" x14ac:dyDescent="0.25">
      <c r="A19" s="11" t="str">
        <f>Comps!A4</f>
        <v>MSFT</v>
      </c>
      <c r="B19" s="14">
        <f>Comps!C4</f>
        <v>12.2</v>
      </c>
      <c r="C19" s="14">
        <f>Comps!D4</f>
        <v>24.5</v>
      </c>
      <c r="D19" s="14">
        <f>Comps!E4</f>
        <v>31.1</v>
      </c>
      <c r="E19" s="12">
        <f>IF(MEDIAN(Comps!E4:E6)=0,0,D19/MEDIAN(Comps!E4:E6)-1)</f>
        <v>0.3761061946902655</v>
      </c>
      <c r="F19" s="2" t="s">
        <v>12</v>
      </c>
      <c r="G19" s="2" t="s">
        <v>12</v>
      </c>
      <c r="H19" s="2" t="s">
        <v>12</v>
      </c>
    </row>
    <row r="20" spans="1:8" x14ac:dyDescent="0.25">
      <c r="A20" s="7" t="str">
        <f>Comps!A5</f>
        <v>GOOGL</v>
      </c>
      <c r="B20" s="15">
        <f>Comps!C5</f>
        <v>5.9</v>
      </c>
      <c r="C20" s="15">
        <f>Comps!D5</f>
        <v>15.2</v>
      </c>
      <c r="D20" s="15">
        <f>Comps!E5</f>
        <v>21.4</v>
      </c>
      <c r="E20" s="8">
        <f>IF(MEDIAN(Comps!E4:E6)=0,0,D20/MEDIAN(Comps!E4:E6)-1)</f>
        <v>-0.053097345132743445</v>
      </c>
      <c r="F20" s="10" t="s">
        <v>12</v>
      </c>
      <c r="G20" s="10" t="s">
        <v>12</v>
      </c>
      <c r="H20" s="10" t="s">
        <v>12</v>
      </c>
    </row>
    <row r="21" spans="1:8" x14ac:dyDescent="0.25">
      <c r="A21" s="11" t="str">
        <f>Comps!A6</f>
        <v>META</v>
      </c>
      <c r="B21" s="14">
        <f>Comps!C6</f>
        <v>7.4</v>
      </c>
      <c r="C21" s="14">
        <f>Comps!D6</f>
        <v>14.1</v>
      </c>
      <c r="D21" s="14">
        <f>Comps!E6</f>
        <v>22.6</v>
      </c>
      <c r="E21" s="12">
        <f>IF(MEDIAN(Comps!E4:E6)=0,0,D21/MEDIAN(Comps!E4:E6)-1)</f>
        <v>0</v>
      </c>
      <c r="F21" s="2" t="s">
        <v>12</v>
      </c>
      <c r="G21" s="2" t="s">
        <v>12</v>
      </c>
      <c r="H21" s="2" t="s">
        <v>12</v>
      </c>
    </row>
    <row r="23" spans="1:8" x14ac:dyDescent="0.25">
      <c r="A23" s="2" t="s">
        <v>28</v>
      </c>
      <c r="B23" s="14">
        <f>MEDIAN(Comps!C4:C6)</f>
        <v>7.4</v>
      </c>
      <c r="C23" s="2" t="s">
        <v>29</v>
      </c>
      <c r="D23" s="14">
        <f>MEDIAN(Comps!E4:E6)</f>
        <v>22.6</v>
      </c>
      <c r="E23" s="2" t="s">
        <v>30</v>
      </c>
      <c r="F23" s="13">
        <f>'Operating Model'!F4</f>
        <v>449685</v>
      </c>
      <c r="G23" s="2" t="s">
        <v>31</v>
      </c>
      <c r="H23" s="12">
        <f>'Operating Model'!F10</f>
        <v>0.277</v>
      </c>
    </row>
  </sheetData>
  <mergeCells count="1">
    <mergeCell ref="A1:H1"/>
  </mergeCells>
  <printOptions horizontalCentered="1"/>
  <pageMargins left="0.25" right="0.25" top="0.35" bottom="0.35" header="0.2" footer="0.2"/>
  <pageSetup orientation="landscape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57"/>
    <pageSetUpPr fitToPage="1"/>
  </sheetPr>
  <dimension ref="A1:C13"/>
  <sheetViews>
    <sheetView workbookViewId="0" showGridLines="0">
      <pane xSplit="1" ySplit="4" topLeftCell="B5" activePane="bottomRight" state="frozen"/>
      <selection pane="bottomRight"/>
    </sheetView>
  </sheetViews>
  <sheetFormatPr defaultRowHeight="18" outlineLevelRow="0" outlineLevelCol="0" x14ac:dyDescent="55" customHeight="1"/>
  <cols>
    <col min="1" max="1" width="34" customWidth="1"/>
    <col min="2" max="2" width="38" customWidth="1"/>
    <col min="3" max="3" width="58" hidden="1" customWidth="1"/>
  </cols>
  <sheetData>
    <row r="1" ht="24" customHeight="1" spans="1:3" x14ac:dyDescent="0.25">
      <c r="A1" s="1" t="s">
        <v>32</v>
      </c>
      <c r="B1" s="1"/>
      <c r="C1" s="1"/>
    </row>
    <row r="3" ht="22" customHeight="1" spans="1:3" x14ac:dyDescent="0.25">
      <c r="A3" s="16" t="s">
        <v>33</v>
      </c>
      <c r="B3" s="16" t="s">
        <v>34</v>
      </c>
      <c r="C3" s="16" t="s">
        <v>35</v>
      </c>
    </row>
    <row r="4" spans="1:3" x14ac:dyDescent="0.25">
      <c r="A4" s="10" t="s">
        <v>36</v>
      </c>
      <c r="B4" s="17" t="s">
        <v>37</v>
      </c>
      <c r="C4" s="10" t="s">
        <v>38</v>
      </c>
    </row>
    <row r="5" spans="1:3" x14ac:dyDescent="0.25">
      <c r="A5" s="2" t="s">
        <v>39</v>
      </c>
      <c r="B5" s="17" t="s">
        <v>40</v>
      </c>
      <c r="C5" s="2" t="s">
        <v>38</v>
      </c>
    </row>
    <row r="6" spans="1:3" x14ac:dyDescent="0.25">
      <c r="A6" s="10" t="s">
        <v>41</v>
      </c>
      <c r="B6" s="17" t="s">
        <v>42</v>
      </c>
      <c r="C6" s="10" t="s">
        <v>43</v>
      </c>
    </row>
    <row r="7" spans="1:3" x14ac:dyDescent="0.25">
      <c r="A7" s="2" t="s">
        <v>44</v>
      </c>
      <c r="B7" s="17" t="s">
        <v>45</v>
      </c>
      <c r="C7" s="2" t="s">
        <v>43</v>
      </c>
    </row>
    <row r="8" spans="1:3" x14ac:dyDescent="0.25">
      <c r="A8" s="10" t="s">
        <v>46</v>
      </c>
      <c r="B8" s="17" t="s">
        <v>47</v>
      </c>
      <c r="C8" s="10" t="s">
        <v>43</v>
      </c>
    </row>
    <row r="9" spans="1:3" x14ac:dyDescent="0.25">
      <c r="A9" s="2" t="s">
        <v>48</v>
      </c>
      <c r="B9" s="17" t="s">
        <v>49</v>
      </c>
      <c r="C9" s="2" t="s">
        <v>43</v>
      </c>
    </row>
    <row r="10" spans="1:3" x14ac:dyDescent="0.25">
      <c r="A10" s="10" t="s">
        <v>41</v>
      </c>
      <c r="B10" s="17" t="s">
        <v>42</v>
      </c>
      <c r="C10" s="10" t="s">
        <v>50</v>
      </c>
    </row>
    <row r="11" spans="1:3" x14ac:dyDescent="0.25">
      <c r="A11" s="2" t="s">
        <v>44</v>
      </c>
      <c r="B11" s="17" t="s">
        <v>45</v>
      </c>
      <c r="C11" s="2" t="s">
        <v>50</v>
      </c>
    </row>
    <row r="12" spans="1:3" x14ac:dyDescent="0.25">
      <c r="A12" s="10" t="s">
        <v>46</v>
      </c>
      <c r="B12" s="17" t="s">
        <v>47</v>
      </c>
      <c r="C12" s="10" t="s">
        <v>50</v>
      </c>
    </row>
    <row r="13" spans="1:3" x14ac:dyDescent="0.25">
      <c r="A13" s="2" t="s">
        <v>48</v>
      </c>
      <c r="B13" s="17" t="s">
        <v>49</v>
      </c>
      <c r="C13" s="2" t="s">
        <v>50</v>
      </c>
    </row>
  </sheetData>
  <autoFilter ref="A3:C3"/>
  <mergeCells count="1">
    <mergeCell ref="A1:C1"/>
  </mergeCells>
  <printOptions horizontalCentered="1"/>
  <pageMargins left="0.25" right="0.25" top="0.35" bottom="0.35" header="0.2" footer="0.2"/>
  <pageSetup orientation="landscape" fitToWidth="1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1B33"/>
    <pageSetUpPr fitToPage="1"/>
  </sheetPr>
  <dimension ref="A1:F11"/>
  <sheetViews>
    <sheetView workbookViewId="0" showGridLines="0">
      <pane xSplit="1" ySplit="4" topLeftCell="B5" activePane="bottomRight" state="frozen"/>
      <selection pane="bottomRight"/>
    </sheetView>
  </sheetViews>
  <sheetFormatPr defaultRowHeight="18" outlineLevelRow="0" outlineLevelCol="0" x14ac:dyDescent="55" customHeight="1"/>
  <cols>
    <col min="1" max="1" width="28" customWidth="1"/>
    <col min="2" max="6" width="14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3" ht="22" customHeight="1" spans="1:6" x14ac:dyDescent="0.25">
      <c r="A3" s="16" t="s">
        <v>51</v>
      </c>
      <c r="B3" s="16" t="s">
        <v>14</v>
      </c>
      <c r="C3" s="16" t="s">
        <v>15</v>
      </c>
      <c r="D3" s="16" t="s">
        <v>16</v>
      </c>
      <c r="E3" s="16" t="s">
        <v>17</v>
      </c>
      <c r="F3" s="16" t="s">
        <v>18</v>
      </c>
    </row>
    <row r="4" spans="1:6" s="18" customFormat="1" x14ac:dyDescent="0.25">
      <c r="A4" s="19" t="s">
        <v>19</v>
      </c>
      <c r="B4" s="20">
        <v>391035</v>
      </c>
      <c r="C4" s="21">
        <f>B4*(1+C5)</f>
      </c>
      <c r="D4" s="21">
        <f>C4*(1+D5)</f>
      </c>
      <c r="E4" s="21">
        <f>D4*(1+E5)</f>
      </c>
      <c r="F4" s="21">
        <f>E4*(1+F5)</f>
      </c>
    </row>
    <row r="5" spans="1:6" s="22" customFormat="1" x14ac:dyDescent="0.25">
      <c r="A5" s="23" t="s">
        <v>8</v>
      </c>
      <c r="B5" s="24">
        <v>0.02021994077514111</v>
      </c>
      <c r="C5" s="24">
        <v>0.03</v>
      </c>
      <c r="D5" s="24">
        <v>0.035</v>
      </c>
      <c r="E5" s="24">
        <v>0.04</v>
      </c>
      <c r="F5" s="24">
        <v>0.04</v>
      </c>
    </row>
    <row r="6" spans="1:6" s="22" customFormat="1" x14ac:dyDescent="0.25">
      <c r="A6" s="25" t="s">
        <v>20</v>
      </c>
      <c r="B6" s="24">
        <v>0.4620634981523393</v>
      </c>
      <c r="C6" s="24">
        <v>0.452</v>
      </c>
      <c r="D6" s="24">
        <v>0.454</v>
      </c>
      <c r="E6" s="24">
        <v>0.456</v>
      </c>
      <c r="F6" s="24">
        <v>0.456</v>
      </c>
    </row>
    <row r="7" spans="1:6" s="18" customFormat="1" x14ac:dyDescent="0.25">
      <c r="A7" s="26" t="s">
        <v>52</v>
      </c>
      <c r="B7" s="27">
        <f>B4*B6</f>
      </c>
      <c r="C7" s="27">
        <f>C4*C6</f>
      </c>
      <c r="D7" s="27">
        <f>D4*D6</f>
      </c>
      <c r="E7" s="27">
        <f>E4*E6</f>
      </c>
      <c r="F7" s="27">
        <f>F4*F6</f>
      </c>
    </row>
    <row r="8" spans="1:6" s="22" customFormat="1" x14ac:dyDescent="0.25">
      <c r="A8" s="25" t="s">
        <v>9</v>
      </c>
      <c r="B8" s="24">
        <v>0.31510222870075566</v>
      </c>
      <c r="C8" s="24">
        <v>0.312</v>
      </c>
      <c r="D8" s="24">
        <v>0.314</v>
      </c>
      <c r="E8" s="24">
        <v>0.316</v>
      </c>
      <c r="F8" s="24">
        <v>0.317</v>
      </c>
    </row>
    <row r="9" spans="1:6" s="18" customFormat="1" x14ac:dyDescent="0.25">
      <c r="A9" s="26" t="s">
        <v>53</v>
      </c>
      <c r="B9" s="27">
        <f>B4*B8</f>
      </c>
      <c r="C9" s="27">
        <f>C4*C8</f>
      </c>
      <c r="D9" s="27">
        <f>D4*D8</f>
      </c>
      <c r="E9" s="27">
        <f>E4*E8</f>
      </c>
      <c r="F9" s="27">
        <f>F4*F8</f>
      </c>
    </row>
    <row r="10" spans="1:6" s="22" customFormat="1" x14ac:dyDescent="0.25">
      <c r="A10" s="25" t="s">
        <v>21</v>
      </c>
      <c r="B10" s="24">
        <v>0.27825386474356517</v>
      </c>
      <c r="C10" s="24">
        <v>0.272</v>
      </c>
      <c r="D10" s="24">
        <v>0.274</v>
      </c>
      <c r="E10" s="24">
        <v>0.276</v>
      </c>
      <c r="F10" s="24">
        <v>0.277</v>
      </c>
    </row>
    <row r="11" spans="1:6" s="18" customFormat="1" x14ac:dyDescent="0.25">
      <c r="A11" s="26" t="s">
        <v>54</v>
      </c>
      <c r="B11" s="27">
        <f>B4*B10</f>
      </c>
      <c r="C11" s="27">
        <f>C4*C10</f>
      </c>
      <c r="D11" s="27">
        <f>D4*D10</f>
      </c>
      <c r="E11" s="27">
        <f>E4*E10</f>
      </c>
      <c r="F11" s="27">
        <f>F4*F10</f>
      </c>
    </row>
  </sheetData>
  <autoFilter ref="A3:F3"/>
  <mergeCells count="1">
    <mergeCell ref="A1:F1"/>
  </mergeCells>
  <printOptions horizontalCentered="1"/>
  <pageMargins left="0.25" right="0.25" top="0.35" bottom="0.35" header="0.2" footer="0.2"/>
  <pageSetup orientation="landscape" fitToWidth="1" fitToHeight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1B33"/>
    <pageSetUpPr fitToPage="1"/>
  </sheetPr>
  <dimension ref="A1:D6"/>
  <sheetViews>
    <sheetView workbookViewId="0" showGridLines="0">
      <pane xSplit="1" ySplit="4" topLeftCell="B5" activePane="bottomRight" state="frozen"/>
      <selection pane="bottomRight"/>
    </sheetView>
  </sheetViews>
  <sheetFormatPr defaultRowHeight="18" outlineLevelRow="0" outlineLevelCol="0" x14ac:dyDescent="55" customHeight="1"/>
  <cols>
    <col min="1" max="1" width="22" customWidth="1"/>
    <col min="2" max="2" width="18" style="22" customWidth="1"/>
    <col min="3" max="3" width="20" style="22" customWidth="1"/>
    <col min="4" max="4" width="18" style="18" customWidth="1"/>
  </cols>
  <sheetData>
    <row r="1" ht="24" customHeight="1" spans="1:4" x14ac:dyDescent="0.25">
      <c r="A1" s="28" t="s">
        <v>55</v>
      </c>
      <c r="B1" s="28"/>
      <c r="C1" s="28"/>
      <c r="D1" s="28"/>
    </row>
    <row r="3" ht="22" customHeight="1" spans="1:4" x14ac:dyDescent="0.25">
      <c r="A3" s="16" t="s">
        <v>56</v>
      </c>
      <c r="B3" s="29" t="s">
        <v>8</v>
      </c>
      <c r="C3" s="29" t="s">
        <v>9</v>
      </c>
      <c r="D3" s="30" t="s">
        <v>57</v>
      </c>
    </row>
    <row r="4" spans="1:4" x14ac:dyDescent="0.25">
      <c r="A4" s="10" t="s">
        <v>58</v>
      </c>
      <c r="B4" s="31">
        <v>0.01</v>
      </c>
      <c r="C4" s="31">
        <v>0.28</v>
      </c>
      <c r="D4" s="32">
        <v>170</v>
      </c>
    </row>
    <row r="5" spans="1:4" x14ac:dyDescent="0.25">
      <c r="A5" s="2" t="s">
        <v>59</v>
      </c>
      <c r="B5" s="33">
        <v>0.035</v>
      </c>
      <c r="C5" s="33">
        <v>0.315</v>
      </c>
      <c r="D5" s="34">
        <v>220</v>
      </c>
    </row>
    <row r="6" spans="1:4" x14ac:dyDescent="0.25">
      <c r="A6" s="10" t="s">
        <v>60</v>
      </c>
      <c r="B6" s="31">
        <v>0.055</v>
      </c>
      <c r="C6" s="31">
        <v>0.34</v>
      </c>
      <c r="D6" s="32">
        <v>260</v>
      </c>
    </row>
  </sheetData>
  <autoFilter ref="A3:D3"/>
  <mergeCells count="1">
    <mergeCell ref="A1:D1"/>
  </mergeCells>
  <printOptions horizontalCentered="1"/>
  <pageMargins left="0.25" right="0.25" top="0.35" bottom="0.35" header="0.2" footer="0.2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1B33"/>
    <pageSetUpPr fitToPage="1"/>
  </sheetPr>
  <dimension ref="A1:C6"/>
  <sheetViews>
    <sheetView workbookViewId="0" showGridLines="0">
      <pane xSplit="1" ySplit="4" topLeftCell="B5" activePane="bottomRight" state="frozen"/>
      <selection pane="bottomRight"/>
    </sheetView>
  </sheetViews>
  <sheetFormatPr defaultRowHeight="18" outlineLevelRow="0" outlineLevelCol="0" x14ac:dyDescent="55" customHeight="1"/>
  <cols>
    <col min="1" max="1" width="30" customWidth="1"/>
    <col min="2" max="2" width="18" style="18" customWidth="1"/>
    <col min="3" max="3" width="44" hidden="1" customWidth="1"/>
  </cols>
  <sheetData>
    <row r="1" ht="24" customHeight="1" spans="1:3" x14ac:dyDescent="0.25">
      <c r="A1" s="28" t="s">
        <v>61</v>
      </c>
      <c r="B1" s="28"/>
      <c r="C1" s="28"/>
    </row>
    <row r="3" ht="22" customHeight="1" spans="1:3" x14ac:dyDescent="0.25">
      <c r="A3" s="16" t="s">
        <v>62</v>
      </c>
      <c r="B3" s="30" t="s">
        <v>63</v>
      </c>
      <c r="C3" s="16" t="s">
        <v>35</v>
      </c>
    </row>
    <row r="4" spans="1:3" x14ac:dyDescent="0.25">
      <c r="A4" s="10" t="s">
        <v>64</v>
      </c>
      <c r="B4" s="32">
        <v>220</v>
      </c>
      <c r="C4" s="10" t="s">
        <v>65</v>
      </c>
    </row>
    <row r="5" spans="1:3" x14ac:dyDescent="0.25">
      <c r="A5" s="2" t="s">
        <v>66</v>
      </c>
      <c r="B5" s="34">
        <v>260</v>
      </c>
      <c r="C5" s="2" t="s">
        <v>65</v>
      </c>
    </row>
    <row r="6" spans="1:3" x14ac:dyDescent="0.25">
      <c r="A6" s="10" t="s">
        <v>67</v>
      </c>
      <c r="B6" s="32">
        <v>170</v>
      </c>
      <c r="C6" s="10" t="s">
        <v>65</v>
      </c>
    </row>
  </sheetData>
  <autoFilter ref="A3:C3"/>
  <mergeCells count="1">
    <mergeCell ref="A1:C1"/>
  </mergeCells>
  <printOptions horizontalCentered="1"/>
  <pageMargins left="0.25" right="0.25" top="0.35" bottom="0.35" header="0.2" footer="0.2"/>
  <pageSetup orientation="landscape" fitToWidth="1" fitToHeight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2B4C"/>
    <pageSetUpPr fitToPage="1"/>
  </sheetPr>
  <dimension ref="A1:F6"/>
  <sheetViews>
    <sheetView workbookViewId="0" showGridLines="0">
      <pane xSplit="1" ySplit="4" topLeftCell="B5" activePane="bottomRight" state="frozen"/>
      <selection pane="bottomRight"/>
    </sheetView>
  </sheetViews>
  <sheetFormatPr defaultRowHeight="18" outlineLevelRow="0" outlineLevelCol="0" x14ac:dyDescent="55" customHeight="1"/>
  <cols>
    <col min="1" max="1" width="12" customWidth="1"/>
    <col min="2" max="2" width="28" customWidth="1"/>
    <col min="3" max="4" width="14" style="35" customWidth="1"/>
    <col min="5" max="5" width="12" style="35" customWidth="1"/>
    <col min="6" max="6" width="44" hidden="1" customWidth="1"/>
  </cols>
  <sheetData>
    <row r="1" ht="24" customHeight="1" spans="1:6" x14ac:dyDescent="0.25">
      <c r="A1" s="36" t="s">
        <v>68</v>
      </c>
      <c r="B1" s="36"/>
      <c r="C1" s="36"/>
      <c r="D1" s="36"/>
      <c r="E1" s="36"/>
      <c r="F1" s="36"/>
    </row>
    <row r="3" ht="22" customHeight="1" spans="1:6" x14ac:dyDescent="0.25">
      <c r="A3" s="16" t="s">
        <v>1</v>
      </c>
      <c r="B3" s="16" t="s">
        <v>69</v>
      </c>
      <c r="C3" s="37" t="s">
        <v>24</v>
      </c>
      <c r="D3" s="37" t="s">
        <v>25</v>
      </c>
      <c r="E3" s="37" t="s">
        <v>26</v>
      </c>
      <c r="F3" s="16" t="s">
        <v>70</v>
      </c>
    </row>
    <row r="4" spans="1:6" x14ac:dyDescent="0.25">
      <c r="A4" s="10" t="s">
        <v>71</v>
      </c>
      <c r="B4" s="10" t="s">
        <v>72</v>
      </c>
      <c r="C4" s="38">
        <v>12.2</v>
      </c>
      <c r="D4" s="38">
        <v>24.5</v>
      </c>
      <c r="E4" s="38">
        <v>31.1</v>
      </c>
      <c r="F4" s="10" t="s">
        <v>73</v>
      </c>
    </row>
    <row r="5" spans="1:6" x14ac:dyDescent="0.25">
      <c r="A5" s="2" t="s">
        <v>74</v>
      </c>
      <c r="B5" s="2" t="s">
        <v>75</v>
      </c>
      <c r="C5" s="39">
        <v>5.9</v>
      </c>
      <c r="D5" s="39">
        <v>15.2</v>
      </c>
      <c r="E5" s="39">
        <v>21.4</v>
      </c>
      <c r="F5" s="2" t="s">
        <v>76</v>
      </c>
    </row>
    <row r="6" spans="1:6" x14ac:dyDescent="0.25">
      <c r="A6" s="10" t="s">
        <v>77</v>
      </c>
      <c r="B6" s="10" t="s">
        <v>78</v>
      </c>
      <c r="C6" s="38">
        <v>7.4</v>
      </c>
      <c r="D6" s="38">
        <v>14.1</v>
      </c>
      <c r="E6" s="38">
        <v>22.6</v>
      </c>
      <c r="F6" s="10" t="s">
        <v>79</v>
      </c>
    </row>
  </sheetData>
  <autoFilter ref="A3:F3"/>
  <mergeCells count="1">
    <mergeCell ref="A1:F1"/>
  </mergeCells>
  <printOptions horizontalCentered="1"/>
  <pageMargins left="0.25" right="0.25" top="0.35" bottom="0.35" header="0.2" footer="0.2"/>
  <pageSetup orientation="landscape" fitToWidth="1" fitToHeight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C6"/>
  <sheetViews>
    <sheetView workbookViewId="0" showGridLines="0">
      <pane xSplit="1" ySplit="4" topLeftCell="B5" activePane="bottomRight" state="frozen"/>
      <selection pane="bottomRight"/>
    </sheetView>
  </sheetViews>
  <sheetFormatPr defaultRowHeight="18" outlineLevelRow="0" outlineLevelCol="0" x14ac:dyDescent="55" customHeight="1"/>
  <cols>
    <col min="1" max="1" width="32" customWidth="1"/>
    <col min="2" max="2" width="36" customWidth="1"/>
    <col min="3" max="3" width="44" customWidth="1"/>
  </cols>
  <sheetData>
    <row r="1" ht="24" customHeight="1" spans="1:3" x14ac:dyDescent="0.25">
      <c r="A1" s="1" t="s">
        <v>80</v>
      </c>
      <c r="B1" s="1"/>
      <c r="C1" s="1"/>
    </row>
    <row r="3" ht="22" customHeight="1" spans="1:3" x14ac:dyDescent="0.25">
      <c r="A3" s="16" t="s">
        <v>81</v>
      </c>
      <c r="B3" s="16" t="s">
        <v>82</v>
      </c>
      <c r="C3" s="16" t="s">
        <v>83</v>
      </c>
    </row>
    <row r="4" spans="1:3" x14ac:dyDescent="0.25">
      <c r="A4" s="10" t="s">
        <v>84</v>
      </c>
      <c r="B4" s="10" t="s">
        <v>85</v>
      </c>
      <c r="C4" s="10" t="s">
        <v>86</v>
      </c>
    </row>
    <row r="5" spans="1:3" x14ac:dyDescent="0.25">
      <c r="A5" s="2" t="s">
        <v>87</v>
      </c>
      <c r="B5" s="2" t="s">
        <v>88</v>
      </c>
      <c r="C5" s="2" t="s">
        <v>89</v>
      </c>
    </row>
    <row r="6" spans="1:3" x14ac:dyDescent="0.25">
      <c r="A6" s="10" t="s">
        <v>90</v>
      </c>
      <c r="B6" s="10" t="s">
        <v>91</v>
      </c>
      <c r="C6" s="10" t="s">
        <v>92</v>
      </c>
    </row>
  </sheetData>
  <autoFilter ref="A3:C3"/>
  <mergeCells count="1">
    <mergeCell ref="A1:C1"/>
  </mergeCells>
  <printOptions horizontalCentered="1"/>
  <pageMargins left="0.25" right="0.25" top="0.35" bottom="0.35" header="0.2" footer="0.2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2B4C"/>
    <pageSetUpPr fitToPage="1"/>
  </sheetPr>
  <dimension ref="A1:D16"/>
  <sheetViews>
    <sheetView workbookViewId="0" showGridLines="0">
      <pane xSplit="1" ySplit="4" topLeftCell="B5" activePane="bottomRight" state="frozen"/>
      <selection pane="bottomRight"/>
    </sheetView>
  </sheetViews>
  <sheetFormatPr defaultRowHeight="18" outlineLevelRow="0" outlineLevelCol="0" x14ac:dyDescent="55" customHeight="1"/>
  <cols>
    <col min="1" max="1" width="26" customWidth="1"/>
    <col min="2" max="2" width="48" customWidth="1"/>
    <col min="3" max="3" width="34" customWidth="1"/>
    <col min="4" max="4" width="56" customWidth="1"/>
  </cols>
  <sheetData>
    <row r="1" ht="24" customHeight="1" spans="1:4" x14ac:dyDescent="0.25">
      <c r="A1" s="1" t="s">
        <v>93</v>
      </c>
      <c r="B1" s="1"/>
      <c r="C1" s="1"/>
      <c r="D1" s="1"/>
    </row>
    <row r="3" ht="22" customHeight="1" spans="1:4" s="40" customFormat="1" x14ac:dyDescent="0.25">
      <c r="A3" s="41" t="s">
        <v>94</v>
      </c>
      <c r="B3" s="41" t="s">
        <v>34</v>
      </c>
      <c r="C3" s="41" t="s">
        <v>35</v>
      </c>
      <c r="D3" s="41" t="s">
        <v>95</v>
      </c>
    </row>
    <row r="4" ht="42" customHeight="1" spans="1:4" s="40" customFormat="1" x14ac:dyDescent="0.25">
      <c r="A4" s="10" t="s">
        <v>96</v>
      </c>
      <c r="B4" s="10" t="s">
        <v>37</v>
      </c>
      <c r="C4" s="10" t="s">
        <v>38</v>
      </c>
      <c r="D4" s="10" t="s">
        <v>97</v>
      </c>
    </row>
    <row r="5" ht="42" customHeight="1" spans="1:4" s="40" customFormat="1" x14ac:dyDescent="0.25">
      <c r="A5" s="2" t="s">
        <v>98</v>
      </c>
      <c r="B5" s="2" t="s">
        <v>40</v>
      </c>
      <c r="C5" s="2" t="s">
        <v>38</v>
      </c>
      <c r="D5" s="2" t="s">
        <v>99</v>
      </c>
    </row>
    <row r="6" ht="42" customHeight="1" spans="1:4" s="40" customFormat="1" x14ac:dyDescent="0.25">
      <c r="A6" s="10" t="s">
        <v>100</v>
      </c>
      <c r="B6" s="10" t="s">
        <v>101</v>
      </c>
      <c r="C6" s="10" t="s">
        <v>38</v>
      </c>
      <c r="D6" s="10" t="s">
        <v>102</v>
      </c>
    </row>
    <row r="7" ht="42" customHeight="1" spans="1:4" s="40" customFormat="1" x14ac:dyDescent="0.25">
      <c r="A7" s="2" t="s">
        <v>103</v>
      </c>
      <c r="B7" s="2" t="s">
        <v>104</v>
      </c>
      <c r="C7" s="2" t="s">
        <v>105</v>
      </c>
      <c r="D7" s="2" t="s">
        <v>106</v>
      </c>
    </row>
    <row r="8" ht="42" customHeight="1" spans="1:4" s="40" customFormat="1" x14ac:dyDescent="0.25">
      <c r="A8" s="10" t="s">
        <v>107</v>
      </c>
      <c r="B8" s="10" t="s">
        <v>108</v>
      </c>
      <c r="C8" s="10" t="s">
        <v>38</v>
      </c>
      <c r="D8" s="10" t="s">
        <v>109</v>
      </c>
    </row>
    <row r="9" ht="42" customHeight="1" spans="1:4" s="40" customFormat="1" x14ac:dyDescent="0.25">
      <c r="A9" s="2" t="s">
        <v>110</v>
      </c>
      <c r="B9" s="2" t="s">
        <v>111</v>
      </c>
      <c r="C9" s="2" t="s">
        <v>112</v>
      </c>
      <c r="D9" s="2" t="s">
        <v>113</v>
      </c>
    </row>
    <row r="10" ht="42" customHeight="1" spans="1:4" s="40" customFormat="1" x14ac:dyDescent="0.25">
      <c r="A10" s="10" t="s">
        <v>114</v>
      </c>
      <c r="B10" s="10" t="s">
        <v>115</v>
      </c>
      <c r="C10" s="10" t="s">
        <v>112</v>
      </c>
      <c r="D10" s="10" t="s">
        <v>116</v>
      </c>
    </row>
    <row r="11" ht="42" customHeight="1" spans="1:4" s="40" customFormat="1" x14ac:dyDescent="0.25">
      <c r="A11" s="2" t="s">
        <v>117</v>
      </c>
      <c r="B11" s="2" t="s">
        <v>118</v>
      </c>
      <c r="C11" s="2" t="s">
        <v>112</v>
      </c>
      <c r="D11" s="2" t="s">
        <v>119</v>
      </c>
    </row>
    <row r="12" ht="42" customHeight="1" spans="1:4" s="40" customFormat="1" x14ac:dyDescent="0.25">
      <c r="A12" s="10" t="s">
        <v>120</v>
      </c>
      <c r="B12" s="10" t="s">
        <v>42</v>
      </c>
      <c r="C12" s="10" t="s">
        <v>50</v>
      </c>
      <c r="D12" s="10" t="s">
        <v>121</v>
      </c>
    </row>
    <row r="13" ht="42" customHeight="1" spans="1:4" s="40" customFormat="1" x14ac:dyDescent="0.25">
      <c r="A13" s="2" t="s">
        <v>122</v>
      </c>
      <c r="B13" s="2" t="s">
        <v>45</v>
      </c>
      <c r="C13" s="2" t="s">
        <v>50</v>
      </c>
      <c r="D13" s="2" t="s">
        <v>123</v>
      </c>
    </row>
    <row r="14" ht="42" customHeight="1" spans="1:4" s="40" customFormat="1" x14ac:dyDescent="0.25">
      <c r="A14" s="10" t="s">
        <v>124</v>
      </c>
      <c r="B14" s="10" t="s">
        <v>47</v>
      </c>
      <c r="C14" s="10" t="s">
        <v>50</v>
      </c>
      <c r="D14" s="10" t="s">
        <v>125</v>
      </c>
    </row>
    <row r="15" ht="42" customHeight="1" spans="1:4" s="40" customFormat="1" x14ac:dyDescent="0.25">
      <c r="A15" s="2" t="s">
        <v>117</v>
      </c>
      <c r="B15" s="2" t="s">
        <v>126</v>
      </c>
      <c r="C15" s="2" t="s">
        <v>50</v>
      </c>
      <c r="D15" s="2" t="s">
        <v>127</v>
      </c>
    </row>
    <row r="16" ht="42" customHeight="1" spans="1:4" s="40" customFormat="1" x14ac:dyDescent="0.25">
      <c r="A16" s="10" t="s">
        <v>128</v>
      </c>
      <c r="B16" s="10" t="s">
        <v>129</v>
      </c>
      <c r="C16" s="10" t="s">
        <v>50</v>
      </c>
      <c r="D16" s="10" t="s">
        <v>130</v>
      </c>
    </row>
  </sheetData>
  <autoFilter ref="A3:D3"/>
  <mergeCells count="1">
    <mergeCell ref="A1:D1"/>
  </mergeCells>
  <printOptions horizontalCentered="1"/>
  <pageMargins left="0.25" right="0.25" top="0.35" bottom="0.3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Inputs</vt:lpstr>
      <vt:lpstr>Operating Model</vt:lpstr>
      <vt:lpstr>Sensitivity</vt:lpstr>
      <vt:lpstr>Valuation</vt:lpstr>
      <vt:lpstr>Comps</vt:lpstr>
      <vt:lpstr>Risk Triggers</vt:lpstr>
      <vt:lpstr>Source Notes</vt:lpstr>
    </vt:vector>
  </TitlesOfParts>
  <Company>Citadail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Citadail</dc:creator>
  <dc:title>AAPL Operating Model</dc:title>
  <dc:subject>AAPL operating model</dc:subject>
  <dc:description/>
  <cp:keywords/>
  <cp:category/>
  <cp:lastModifiedBy>Unknown</cp:lastModifiedBy>
  <dcterms:created xsi:type="dcterms:W3CDTF">2026-04-18T09:52:40Z</dcterms:created>
  <dcterms:modified xsi:type="dcterms:W3CDTF">2026-04-18T09:52:40Z</dcterms:modified>
</cp:coreProperties>
</file>